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29" i="1"/>
  <c r="H30"/>
  <c r="H31"/>
  <c r="H32"/>
  <c r="H28"/>
  <c r="E29"/>
  <c r="E30"/>
  <c r="E31"/>
  <c r="E32"/>
  <c r="E28"/>
  <c r="G29"/>
  <c r="G30"/>
  <c r="G31"/>
  <c r="G32"/>
  <c r="G28"/>
  <c r="F29"/>
  <c r="F30"/>
  <c r="F31"/>
  <c r="F32"/>
  <c r="F28"/>
  <c r="J17"/>
  <c r="I17"/>
  <c r="H17"/>
  <c r="F17"/>
  <c r="E17"/>
  <c r="D17"/>
  <c r="C17"/>
  <c r="G11"/>
  <c r="G10"/>
  <c r="F11"/>
  <c r="F10"/>
  <c r="E11"/>
  <c r="E10"/>
  <c r="D11"/>
  <c r="D10"/>
  <c r="C11"/>
  <c r="C10"/>
  <c r="K6"/>
  <c r="K7"/>
  <c r="K8"/>
  <c r="K9"/>
  <c r="K5"/>
  <c r="J6"/>
  <c r="J7"/>
  <c r="J8"/>
  <c r="J9"/>
  <c r="J5"/>
  <c r="I6"/>
  <c r="I7"/>
  <c r="I8"/>
  <c r="I9"/>
  <c r="I5"/>
  <c r="H5"/>
  <c r="H6"/>
  <c r="H7"/>
  <c r="H8"/>
  <c r="H9"/>
</calcChain>
</file>

<file path=xl/sharedStrings.xml><?xml version="1.0" encoding="utf-8"?>
<sst xmlns="http://schemas.openxmlformats.org/spreadsheetml/2006/main" count="46" uniqueCount="43">
  <si>
    <t>MARK LIST</t>
  </si>
  <si>
    <t>S.NO</t>
  </si>
  <si>
    <t>NAME</t>
  </si>
  <si>
    <t>TAMIL</t>
  </si>
  <si>
    <t>ENGLISH</t>
  </si>
  <si>
    <t>MATHS</t>
  </si>
  <si>
    <t>SCIENCE</t>
  </si>
  <si>
    <t>S.SCIENCE</t>
  </si>
  <si>
    <t>TOTAL</t>
  </si>
  <si>
    <t>RAHUL</t>
  </si>
  <si>
    <t>MOUNIKA</t>
  </si>
  <si>
    <t>SREEDARAN</t>
  </si>
  <si>
    <t>JEEVADARAN</t>
  </si>
  <si>
    <t>KABILAN</t>
  </si>
  <si>
    <t>AVERGE</t>
  </si>
  <si>
    <t>RESULT</t>
  </si>
  <si>
    <t>GRADE</t>
  </si>
  <si>
    <t>MAX</t>
  </si>
  <si>
    <t>MIN</t>
  </si>
  <si>
    <t>A</t>
  </si>
  <si>
    <t>B</t>
  </si>
  <si>
    <t>A+B</t>
  </si>
  <si>
    <t>A-B</t>
  </si>
  <si>
    <t>A*B</t>
  </si>
  <si>
    <t>A/B</t>
  </si>
  <si>
    <t>(a+b)^2</t>
  </si>
  <si>
    <t>(a+b)(a-b)</t>
  </si>
  <si>
    <t>POSION</t>
  </si>
  <si>
    <t>SALARY</t>
  </si>
  <si>
    <t>M.REKHA</t>
  </si>
  <si>
    <t>P.RAGAVI</t>
  </si>
  <si>
    <t>K.PRIYA</t>
  </si>
  <si>
    <t>A.KARTHIK</t>
  </si>
  <si>
    <t>P.JEYA</t>
  </si>
  <si>
    <t>MD</t>
  </si>
  <si>
    <t>FM</t>
  </si>
  <si>
    <t>STORE KEEPER</t>
  </si>
  <si>
    <t>SUPERVISOR</t>
  </si>
  <si>
    <t>LABOUR</t>
  </si>
  <si>
    <t>DA(8%)</t>
  </si>
  <si>
    <t>PF(12%)</t>
  </si>
  <si>
    <t>NET SALARY</t>
  </si>
  <si>
    <t>HRA(5%)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</si>
</sst>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>
      <selection activeCell="I28" sqref="I28"/>
    </sheetView>
  </sheetViews>
  <sheetFormatPr defaultRowHeight="15"/>
  <cols>
    <col min="5" max="5" width="11.140625" bestFit="1" customWidth="1"/>
  </cols>
  <sheetData>
    <row r="1" spans="1:11">
      <c r="A1" s="1" t="s">
        <v>0</v>
      </c>
    </row>
    <row r="4" spans="1:11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14</v>
      </c>
      <c r="J4" t="s">
        <v>15</v>
      </c>
      <c r="K4" t="s">
        <v>16</v>
      </c>
    </row>
    <row r="5" spans="1:11">
      <c r="A5">
        <v>1</v>
      </c>
      <c r="B5" t="s">
        <v>9</v>
      </c>
      <c r="C5">
        <v>61</v>
      </c>
      <c r="D5">
        <v>96</v>
      </c>
      <c r="E5">
        <v>65</v>
      </c>
      <c r="F5">
        <v>95</v>
      </c>
      <c r="G5">
        <v>79</v>
      </c>
      <c r="H5">
        <f>SUM(C5:G5)</f>
        <v>396</v>
      </c>
      <c r="I5">
        <f>AVERAGE(C5:G5)</f>
        <v>79.2</v>
      </c>
      <c r="J5" t="str">
        <f>IF(AND(C5&gt;=35,D5&gt;=35,E5&gt;=35,F5&gt;=35,G5&gt;=35),"pass","fail")</f>
        <v>pass</v>
      </c>
      <c r="K5" t="str">
        <f>IF(J5="FAIL","U",IF(J5&gt;=90,"A",IF(J5&gt;=70,"B",IF(J5&gt;=50,"C",IF(J5&gt;=35,"D","U")))))</f>
        <v>A</v>
      </c>
    </row>
    <row r="6" spans="1:11">
      <c r="A6">
        <v>2</v>
      </c>
      <c r="B6" t="s">
        <v>10</v>
      </c>
      <c r="C6">
        <v>93</v>
      </c>
      <c r="D6">
        <v>96</v>
      </c>
      <c r="E6">
        <v>78</v>
      </c>
      <c r="F6">
        <v>90</v>
      </c>
      <c r="G6">
        <v>94</v>
      </c>
      <c r="H6">
        <f t="shared" ref="H6:H9" si="0">SUM(C6:G6)</f>
        <v>451</v>
      </c>
      <c r="I6">
        <f t="shared" ref="I6:I9" si="1">AVERAGE(C6:G6)</f>
        <v>90.2</v>
      </c>
      <c r="J6" t="str">
        <f t="shared" ref="J6:J9" si="2">IF(AND(C6&gt;=35,D6&gt;=35,E6&gt;=35,F6&gt;=35,G6&gt;=35),"pass","fail")</f>
        <v>pass</v>
      </c>
      <c r="K6" t="str">
        <f t="shared" ref="K6:K9" si="3">IF(J6="FAIL","U",IF(J6&gt;=90,"A",IF(J6&gt;=70,"B",IF(J6&gt;=50,"C",IF(J6&gt;=35,"D","U")))))</f>
        <v>A</v>
      </c>
    </row>
    <row r="7" spans="1:11">
      <c r="A7">
        <v>3</v>
      </c>
      <c r="B7" t="s">
        <v>11</v>
      </c>
      <c r="C7">
        <v>97</v>
      </c>
      <c r="D7">
        <v>76</v>
      </c>
      <c r="E7">
        <v>95</v>
      </c>
      <c r="F7">
        <v>87</v>
      </c>
      <c r="G7">
        <v>86</v>
      </c>
      <c r="H7">
        <f t="shared" si="0"/>
        <v>441</v>
      </c>
      <c r="I7">
        <f t="shared" si="1"/>
        <v>88.2</v>
      </c>
      <c r="J7" t="str">
        <f t="shared" si="2"/>
        <v>pass</v>
      </c>
      <c r="K7" t="str">
        <f t="shared" si="3"/>
        <v>A</v>
      </c>
    </row>
    <row r="8" spans="1:11">
      <c r="A8">
        <v>4</v>
      </c>
      <c r="B8" t="s">
        <v>12</v>
      </c>
      <c r="C8">
        <v>85</v>
      </c>
      <c r="D8">
        <v>30</v>
      </c>
      <c r="E8">
        <v>89</v>
      </c>
      <c r="F8">
        <v>68</v>
      </c>
      <c r="G8">
        <v>55</v>
      </c>
      <c r="H8">
        <f t="shared" si="0"/>
        <v>327</v>
      </c>
      <c r="I8">
        <f t="shared" si="1"/>
        <v>65.400000000000006</v>
      </c>
      <c r="J8" t="str">
        <f t="shared" si="2"/>
        <v>fail</v>
      </c>
      <c r="K8" t="str">
        <f t="shared" si="3"/>
        <v>U</v>
      </c>
    </row>
    <row r="9" spans="1:11">
      <c r="A9">
        <v>5</v>
      </c>
      <c r="B9" t="s">
        <v>13</v>
      </c>
      <c r="C9">
        <v>73</v>
      </c>
      <c r="D9">
        <v>56</v>
      </c>
      <c r="E9">
        <v>76</v>
      </c>
      <c r="F9">
        <v>79</v>
      </c>
      <c r="G9">
        <v>68</v>
      </c>
      <c r="H9">
        <f t="shared" si="0"/>
        <v>352</v>
      </c>
      <c r="I9">
        <f t="shared" si="1"/>
        <v>70.400000000000006</v>
      </c>
      <c r="J9" t="str">
        <f t="shared" si="2"/>
        <v>pass</v>
      </c>
      <c r="K9" t="str">
        <f t="shared" si="3"/>
        <v>A</v>
      </c>
    </row>
    <row r="10" spans="1:11">
      <c r="B10" t="s">
        <v>17</v>
      </c>
      <c r="C10">
        <f>MAX(C5:C9)</f>
        <v>97</v>
      </c>
      <c r="D10">
        <f>MAX(D5:D9)</f>
        <v>96</v>
      </c>
      <c r="E10">
        <f>MAX(E5:E9)</f>
        <v>95</v>
      </c>
      <c r="F10">
        <f>MAX(F5:F9)</f>
        <v>95</v>
      </c>
      <c r="G10">
        <f>MAX(G5:G9)</f>
        <v>94</v>
      </c>
    </row>
    <row r="11" spans="1:11">
      <c r="B11" t="s">
        <v>18</v>
      </c>
      <c r="C11">
        <f>MIN(C5:C10)</f>
        <v>61</v>
      </c>
      <c r="D11">
        <f>MIN(D5:D10)</f>
        <v>30</v>
      </c>
      <c r="E11">
        <f>MIN(E5:E10)</f>
        <v>65</v>
      </c>
      <c r="F11">
        <f>MIN(F5:F10)</f>
        <v>68</v>
      </c>
      <c r="G11">
        <f>MIN(G5:G10)</f>
        <v>55</v>
      </c>
    </row>
    <row r="16" spans="1:11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H16" t="s">
        <v>25</v>
      </c>
      <c r="I16" t="s">
        <v>26</v>
      </c>
      <c r="J16" t="s">
        <v>25</v>
      </c>
    </row>
    <row r="17" spans="1:10">
      <c r="A17">
        <v>2</v>
      </c>
      <c r="B17">
        <v>5</v>
      </c>
      <c r="C17">
        <f>(A17+B17)</f>
        <v>7</v>
      </c>
      <c r="D17">
        <f>(A17-B17)</f>
        <v>-3</v>
      </c>
      <c r="E17">
        <f>(A17*B17)</f>
        <v>10</v>
      </c>
      <c r="F17">
        <f>(A17/B17)</f>
        <v>0.4</v>
      </c>
      <c r="H17">
        <f>A17^2+B17^2+2*(A17*B17)</f>
        <v>49</v>
      </c>
      <c r="I17">
        <f>(A17+B17)*(A17-B17)</f>
        <v>-21</v>
      </c>
      <c r="J17">
        <f>(A17+B17)^2</f>
        <v>49</v>
      </c>
    </row>
    <row r="18" spans="1:10">
      <c r="A18">
        <v>1</v>
      </c>
    </row>
    <row r="19" spans="1:10">
      <c r="A19">
        <v>2</v>
      </c>
    </row>
    <row r="20" spans="1:10">
      <c r="A20">
        <v>3</v>
      </c>
    </row>
    <row r="21" spans="1:10">
      <c r="A21">
        <v>4</v>
      </c>
    </row>
    <row r="22" spans="1:10">
      <c r="A22">
        <v>5</v>
      </c>
    </row>
    <row r="23" spans="1:10">
      <c r="A23">
        <v>6</v>
      </c>
    </row>
    <row r="24" spans="1:10">
      <c r="A24">
        <v>7</v>
      </c>
    </row>
    <row r="27" spans="1:10">
      <c r="A27" t="s">
        <v>1</v>
      </c>
      <c r="B27" t="s">
        <v>2</v>
      </c>
      <c r="C27" t="s">
        <v>27</v>
      </c>
      <c r="D27" t="s">
        <v>28</v>
      </c>
      <c r="E27" t="s">
        <v>42</v>
      </c>
      <c r="F27" t="s">
        <v>39</v>
      </c>
      <c r="G27" t="s">
        <v>40</v>
      </c>
      <c r="H27" t="s">
        <v>41</v>
      </c>
    </row>
    <row r="28" spans="1:10">
      <c r="A28">
        <v>1</v>
      </c>
      <c r="B28" t="s">
        <v>29</v>
      </c>
      <c r="C28" t="s">
        <v>35</v>
      </c>
      <c r="D28">
        <v>75000</v>
      </c>
      <c r="E28" s="2">
        <f>D28*5/100</f>
        <v>3750</v>
      </c>
      <c r="F28">
        <f>D28*8/100</f>
        <v>6000</v>
      </c>
      <c r="G28">
        <f>D28*12/100</f>
        <v>9000</v>
      </c>
      <c r="H28">
        <f>D28-E28-F28-G28</f>
        <v>56250</v>
      </c>
    </row>
    <row r="29" spans="1:10">
      <c r="A29">
        <v>2</v>
      </c>
      <c r="B29" t="s">
        <v>30</v>
      </c>
      <c r="C29" t="s">
        <v>34</v>
      </c>
      <c r="D29">
        <v>35000</v>
      </c>
      <c r="E29" s="2">
        <f t="shared" ref="E29:E32" si="4">D29*5/100</f>
        <v>1750</v>
      </c>
      <c r="F29">
        <f t="shared" ref="F29:F32" si="5">D29*8/100</f>
        <v>2800</v>
      </c>
      <c r="G29">
        <f t="shared" ref="G29:G32" si="6">D29*12/100</f>
        <v>4200</v>
      </c>
      <c r="H29">
        <f t="shared" ref="H29:H32" si="7">D29-E29-F29-G29</f>
        <v>26250</v>
      </c>
    </row>
    <row r="30" spans="1:10">
      <c r="A30">
        <v>3</v>
      </c>
      <c r="B30" t="s">
        <v>31</v>
      </c>
      <c r="C30" t="s">
        <v>36</v>
      </c>
      <c r="D30">
        <v>18000</v>
      </c>
      <c r="E30" s="2">
        <f t="shared" si="4"/>
        <v>900</v>
      </c>
      <c r="F30">
        <f t="shared" si="5"/>
        <v>1440</v>
      </c>
      <c r="G30">
        <f t="shared" si="6"/>
        <v>2160</v>
      </c>
      <c r="H30">
        <f t="shared" si="7"/>
        <v>13500</v>
      </c>
    </row>
    <row r="31" spans="1:10">
      <c r="A31">
        <v>4</v>
      </c>
      <c r="B31" t="s">
        <v>32</v>
      </c>
      <c r="C31" t="s">
        <v>37</v>
      </c>
      <c r="D31">
        <v>13000</v>
      </c>
      <c r="E31" s="2">
        <f t="shared" si="4"/>
        <v>650</v>
      </c>
      <c r="F31">
        <f t="shared" si="5"/>
        <v>1040</v>
      </c>
      <c r="G31">
        <f t="shared" si="6"/>
        <v>1560</v>
      </c>
      <c r="H31">
        <f t="shared" si="7"/>
        <v>9750</v>
      </c>
    </row>
    <row r="32" spans="1:10">
      <c r="A32">
        <v>5</v>
      </c>
      <c r="B32" t="s">
        <v>33</v>
      </c>
      <c r="C32" t="s">
        <v>38</v>
      </c>
      <c r="D32">
        <v>9500</v>
      </c>
      <c r="E32" s="2">
        <f t="shared" si="4"/>
        <v>475</v>
      </c>
      <c r="F32">
        <f t="shared" si="5"/>
        <v>760</v>
      </c>
      <c r="G32">
        <f t="shared" si="6"/>
        <v>1140</v>
      </c>
      <c r="H32">
        <f t="shared" si="7"/>
        <v>7125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2024-10-08T06:44:44Z</dcterms:created>
  <dcterms:modified xsi:type="dcterms:W3CDTF">2024-10-10T06:55:40Z</dcterms:modified>
</cp:coreProperties>
</file>